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eb4130015d7a167/Desktop/"/>
    </mc:Choice>
  </mc:AlternateContent>
  <xr:revisionPtr revIDLastSave="0" documentId="8_{16407A3C-4876-433D-9E87-22C86D0B4D3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1" sheetId="1" r:id="rId1"/>
    <sheet name="2" sheetId="2" r:id="rId2"/>
    <sheet name="3" sheetId="3" r:id="rId3"/>
    <sheet name="4" sheetId="5" r:id="rId4"/>
  </sheets>
  <definedNames>
    <definedName name="solver_adj" localSheetId="0" hidden="1">'1'!$E$5:$E$11</definedName>
    <definedName name="solver_adj" localSheetId="1" hidden="1">'2'!$E$5:$E$11</definedName>
    <definedName name="solver_adj" localSheetId="2" hidden="1">'3'!$E$5:$E$23</definedName>
    <definedName name="solver_adj" localSheetId="3" hidden="1">'4'!$E$5:$E$17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'1'!$E$5</definedName>
    <definedName name="solver_lhs1" localSheetId="1" hidden="1">'2'!$E$5</definedName>
    <definedName name="solver_lhs1" localSheetId="2" hidden="1">'3'!$K$5:$K$11</definedName>
    <definedName name="solver_lhs1" localSheetId="3" hidden="1">'4'!$E$17</definedName>
    <definedName name="solver_lhs2" localSheetId="0" hidden="1">'1'!$E$9</definedName>
    <definedName name="solver_lhs2" localSheetId="1" hidden="1">'2'!$E$9</definedName>
    <definedName name="solver_lhs2" localSheetId="3" hidden="1">'4'!$K$5:$K$11</definedName>
    <definedName name="solver_lhs3" localSheetId="0" hidden="1">'1'!$K$5:$K$9</definedName>
    <definedName name="solver_lhs3" localSheetId="1" hidden="1">'2'!$K$5:$K$9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3</definedName>
    <definedName name="solver_num" localSheetId="1" hidden="1">3</definedName>
    <definedName name="solver_num" localSheetId="2" hidden="1">1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'1'!$E$13</definedName>
    <definedName name="solver_opt" localSheetId="1" hidden="1">'2'!$E$13</definedName>
    <definedName name="solver_opt" localSheetId="2" hidden="1">'3'!$E$25</definedName>
    <definedName name="solver_opt" localSheetId="3" hidden="1">'4'!$G$20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1</definedName>
    <definedName name="solver_rel1" localSheetId="1" hidden="1">1</definedName>
    <definedName name="solver_rel1" localSheetId="2" hidden="1">2</definedName>
    <definedName name="solver_rel1" localSheetId="3" hidden="1">1</definedName>
    <definedName name="solver_rel2" localSheetId="0" hidden="1">1</definedName>
    <definedName name="solver_rel2" localSheetId="1" hidden="1">1</definedName>
    <definedName name="solver_rel2" localSheetId="3" hidden="1">2</definedName>
    <definedName name="solver_rel3" localSheetId="0" hidden="1">2</definedName>
    <definedName name="solver_rel3" localSheetId="1" hidden="1">2</definedName>
    <definedName name="solver_rhs1" localSheetId="0" hidden="1">'1'!$G$5</definedName>
    <definedName name="solver_rhs1" localSheetId="1" hidden="1">'2'!$G$5</definedName>
    <definedName name="solver_rhs1" localSheetId="2" hidden="1">'3'!$M$5:$M$11</definedName>
    <definedName name="solver_rhs1" localSheetId="3" hidden="1">'4'!$H$17</definedName>
    <definedName name="solver_rhs2" localSheetId="0" hidden="1">'1'!$G$9</definedName>
    <definedName name="solver_rhs2" localSheetId="1" hidden="1">'2'!$G$9</definedName>
    <definedName name="solver_rhs2" localSheetId="3" hidden="1">'4'!$M$5:$M$11</definedName>
    <definedName name="solver_rhs3" localSheetId="0" hidden="1">'1'!$M$5:$M$9</definedName>
    <definedName name="solver_rhs3" localSheetId="1" hidden="1">'2'!$M$5:$M$9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5" l="1"/>
  <c r="K11" i="5"/>
  <c r="K10" i="5"/>
  <c r="K9" i="5"/>
  <c r="K8" i="5"/>
  <c r="K7" i="5"/>
  <c r="K6" i="5"/>
  <c r="K5" i="5"/>
  <c r="K11" i="3"/>
  <c r="K10" i="3"/>
  <c r="K9" i="3"/>
  <c r="K8" i="3"/>
  <c r="K7" i="3"/>
  <c r="K6" i="3"/>
  <c r="K5" i="3"/>
  <c r="E25" i="3"/>
  <c r="E13" i="2" l="1"/>
  <c r="K9" i="2"/>
  <c r="K8" i="2"/>
  <c r="K7" i="2"/>
  <c r="K6" i="2"/>
  <c r="K5" i="2"/>
  <c r="E13" i="1"/>
  <c r="K9" i="1"/>
  <c r="K5" i="1"/>
  <c r="K8" i="1" l="1"/>
  <c r="K6" i="1"/>
  <c r="K7" i="1" l="1"/>
</calcChain>
</file>

<file path=xl/sharedStrings.xml><?xml version="1.0" encoding="utf-8"?>
<sst xmlns="http://schemas.openxmlformats.org/spreadsheetml/2006/main" count="205" uniqueCount="30">
  <si>
    <t>From</t>
  </si>
  <si>
    <t>To</t>
  </si>
  <si>
    <t>Nodes</t>
  </si>
  <si>
    <t>NetFlow</t>
  </si>
  <si>
    <t>Supply/Demand</t>
  </si>
  <si>
    <t>A</t>
  </si>
  <si>
    <t>B</t>
  </si>
  <si>
    <t>C</t>
  </si>
  <si>
    <t>D</t>
  </si>
  <si>
    <t>E</t>
  </si>
  <si>
    <t>=</t>
  </si>
  <si>
    <t>Capacity</t>
  </si>
  <si>
    <t xml:space="preserve">&lt;= </t>
  </si>
  <si>
    <t>Minimum Cost Flow Problem</t>
  </si>
  <si>
    <t>Practical No.-6</t>
  </si>
  <si>
    <t xml:space="preserve">B </t>
  </si>
  <si>
    <t>Ship</t>
  </si>
  <si>
    <t>Unit Cost</t>
  </si>
  <si>
    <t>TOTAL COST</t>
  </si>
  <si>
    <t>Question - 1</t>
  </si>
  <si>
    <t>Question - 4</t>
  </si>
  <si>
    <t>Question - 2</t>
  </si>
  <si>
    <t>Question - 3</t>
  </si>
  <si>
    <t>O</t>
  </si>
  <si>
    <t>T</t>
  </si>
  <si>
    <t>&lt;=</t>
  </si>
  <si>
    <t>Name - Mabuoch Bol Manyuon</t>
  </si>
  <si>
    <t>Course - Bsc (H) Computer Science</t>
  </si>
  <si>
    <t>Roll No. -20231481</t>
  </si>
  <si>
    <t>Name -Mabuoch Bol Manyuon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</si>
</sst>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/>
    <xf numFmtId="0" fontId="6" fillId="6" borderId="1" applyNumberFormat="0" applyAlignment="0" applyProtection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1" applyAlignment="1">
      <alignment horizontal="center"/>
    </xf>
    <xf numFmtId="0" fontId="1" fillId="0" borderId="0" xfId="0" applyFont="1"/>
    <xf numFmtId="0" fontId="6" fillId="6" borderId="1" xfId="2" applyAlignment="1">
      <alignment horizontal="center"/>
    </xf>
    <xf numFmtId="0" fontId="6" fillId="6" borderId="1" xfId="2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Accent3" xfId="1" builtinId="37"/>
    <cellStyle name="Calculation" xfId="2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239912</xdr:colOff>
      <xdr:row>3</xdr:row>
      <xdr:rowOff>95250</xdr:rowOff>
    </xdr:from>
    <xdr:to>
      <xdr:col>25</xdr:col>
      <xdr:colOff>189246</xdr:colOff>
      <xdr:row>38</xdr:row>
      <xdr:rowOff>119304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3079" y="846667"/>
          <a:ext cx="7315334" cy="6987887"/>
        </a:xfrm>
        <a:prstGeom prst="rect">
          <a:avLst/>
        </a:prstGeom>
      </xdr:spPr>
    </xdr:pic>
    <xdr:clientData/>
  </xdr:twoCellAnchor>
  <xdr:twoCellAnchor editAs="oneCell">
    <xdr:from>
      <xdr:col>1</xdr:col>
      <xdr:colOff>1157179</xdr:colOff>
      <xdr:row>19</xdr:row>
      <xdr:rowOff>138954</xdr:rowOff>
    </xdr:from>
    <xdr:to>
      <xdr:col>12</xdr:col>
      <xdr:colOff>608380</xdr:colOff>
      <xdr:row>39</xdr:row>
      <xdr:rowOff>14252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3858" y="4275525"/>
          <a:ext cx="8772093" cy="36852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11476</xdr:colOff>
      <xdr:row>8</xdr:row>
      <xdr:rowOff>2297</xdr:rowOff>
    </xdr:from>
    <xdr:to>
      <xdr:col>26</xdr:col>
      <xdr:colOff>183615</xdr:colOff>
      <xdr:row>27</xdr:row>
      <xdr:rowOff>68856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53" t="45888" r="14700" b="23592"/>
        <a:stretch/>
      </xdr:blipFill>
      <xdr:spPr>
        <a:xfrm>
          <a:off x="13507139" y="1941725"/>
          <a:ext cx="6862590" cy="38191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422145</xdr:colOff>
      <xdr:row>4</xdr:row>
      <xdr:rowOff>156609</xdr:rowOff>
    </xdr:from>
    <xdr:to>
      <xdr:col>23</xdr:col>
      <xdr:colOff>257175</xdr:colOff>
      <xdr:row>17</xdr:row>
      <xdr:rowOff>128741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84" r="1441"/>
        <a:stretch/>
      </xdr:blipFill>
      <xdr:spPr>
        <a:xfrm>
          <a:off x="12461745" y="1109109"/>
          <a:ext cx="4711830" cy="27534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234461</xdr:colOff>
      <xdr:row>5</xdr:row>
      <xdr:rowOff>39733</xdr:rowOff>
    </xdr:from>
    <xdr:to>
      <xdr:col>23</xdr:col>
      <xdr:colOff>282610</xdr:colOff>
      <xdr:row>29</xdr:row>
      <xdr:rowOff>57494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D4F86F-7461-40A2-8D57-BF93BF57A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4571" y="1232975"/>
          <a:ext cx="5511940" cy="47488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zoomScale="70" zoomScaleNormal="70" workbookViewId="0">
      <selection activeCell="A19" sqref="A19"/>
    </sheetView>
  </sheetViews>
  <sheetFormatPr defaultRowHeight="15" x14ac:dyDescent="0.25"/>
  <cols>
    <col min="1" max="1" width="42.28515625" customWidth="1"/>
    <col min="2" max="2" width="17.7109375" customWidth="1"/>
    <col min="4" max="4" width="16" customWidth="1"/>
    <col min="5" max="5" width="12.42578125" customWidth="1"/>
    <col min="6" max="6" width="11.42578125" customWidth="1"/>
    <col min="7" max="7" width="14.28515625" customWidth="1"/>
    <col min="8" max="9" width="12.28515625" customWidth="1"/>
    <col min="10" max="10" width="10.7109375" customWidth="1"/>
    <col min="11" max="11" width="13.7109375" customWidth="1"/>
    <col min="12" max="12" width="9.7109375" customWidth="1"/>
    <col min="13" max="13" width="20.28515625" customWidth="1"/>
  </cols>
  <sheetData>
    <row r="1" spans="1:18" ht="21" x14ac:dyDescent="0.35">
      <c r="E1" s="14" t="s">
        <v>14</v>
      </c>
      <c r="F1" s="14"/>
      <c r="G1" s="14"/>
      <c r="H1" s="14"/>
    </row>
    <row r="2" spans="1:18" ht="23.25" x14ac:dyDescent="0.35">
      <c r="E2" s="15" t="s">
        <v>13</v>
      </c>
      <c r="F2" s="15"/>
      <c r="G2" s="15"/>
      <c r="H2" s="15"/>
      <c r="J2" s="1"/>
    </row>
    <row r="4" spans="1:18" ht="15.75" x14ac:dyDescent="0.25">
      <c r="A4" s="6"/>
      <c r="B4" s="6"/>
      <c r="C4" s="12" t="s">
        <v>0</v>
      </c>
      <c r="D4" s="12" t="s">
        <v>1</v>
      </c>
      <c r="E4" s="12" t="s">
        <v>16</v>
      </c>
      <c r="F4" s="12"/>
      <c r="G4" s="12" t="s">
        <v>11</v>
      </c>
      <c r="H4" s="12" t="s">
        <v>17</v>
      </c>
      <c r="I4" s="12"/>
      <c r="J4" s="12" t="s">
        <v>2</v>
      </c>
      <c r="K4" s="12" t="s">
        <v>3</v>
      </c>
      <c r="L4" s="12"/>
      <c r="M4" s="12" t="s">
        <v>4</v>
      </c>
      <c r="O4" s="2"/>
      <c r="P4" s="2"/>
      <c r="Q4" s="2"/>
      <c r="R4" s="2"/>
    </row>
    <row r="5" spans="1:18" x14ac:dyDescent="0.25">
      <c r="C5" s="2" t="s">
        <v>5</v>
      </c>
      <c r="D5" s="2" t="s">
        <v>6</v>
      </c>
      <c r="E5" s="3">
        <v>0</v>
      </c>
      <c r="F5" s="2" t="s">
        <v>12</v>
      </c>
      <c r="G5" s="2">
        <v>10</v>
      </c>
      <c r="H5" s="2">
        <v>2</v>
      </c>
      <c r="I5" s="2"/>
      <c r="J5" s="2" t="s">
        <v>5</v>
      </c>
      <c r="K5" s="3">
        <f>SUMIF(C$5:C$11,J5,E$5:E$11)-SUMIF(D$5:D$11,J5,E$5:E$11)</f>
        <v>50</v>
      </c>
      <c r="L5" s="2" t="s">
        <v>10</v>
      </c>
      <c r="M5" s="2">
        <v>50</v>
      </c>
      <c r="O5" s="2"/>
      <c r="P5" s="2"/>
      <c r="Q5" s="2"/>
      <c r="R5" s="2"/>
    </row>
    <row r="6" spans="1:18" ht="21" x14ac:dyDescent="0.35">
      <c r="A6" s="7" t="s">
        <v>26</v>
      </c>
      <c r="B6" s="7"/>
      <c r="C6" s="2" t="s">
        <v>5</v>
      </c>
      <c r="D6" s="2" t="s">
        <v>7</v>
      </c>
      <c r="E6" s="3">
        <v>20</v>
      </c>
      <c r="F6" s="2"/>
      <c r="G6" s="2"/>
      <c r="H6" s="2">
        <v>4</v>
      </c>
      <c r="I6" s="2"/>
      <c r="J6" s="2" t="s">
        <v>6</v>
      </c>
      <c r="K6" s="3">
        <f>SUMIF(C$5:C$11,J6,E$5:E$11)-SUMIF(D$5:D$11,J6,E$5:E$11)</f>
        <v>0</v>
      </c>
      <c r="L6" s="2" t="s">
        <v>10</v>
      </c>
      <c r="M6" s="2">
        <v>40</v>
      </c>
      <c r="O6" s="2"/>
      <c r="P6" s="2"/>
      <c r="Q6" s="2"/>
      <c r="R6" s="2"/>
    </row>
    <row r="7" spans="1:18" ht="21" x14ac:dyDescent="0.35">
      <c r="A7" s="7" t="s">
        <v>27</v>
      </c>
      <c r="B7" s="7"/>
      <c r="C7" s="2" t="s">
        <v>5</v>
      </c>
      <c r="D7" s="2" t="s">
        <v>8</v>
      </c>
      <c r="E7" s="3">
        <v>30</v>
      </c>
      <c r="F7" s="2"/>
      <c r="G7" s="2"/>
      <c r="H7" s="2">
        <v>9</v>
      </c>
      <c r="I7" s="2"/>
      <c r="J7" s="2" t="s">
        <v>7</v>
      </c>
      <c r="K7" s="3">
        <f>SUMIF(C$5:C$11,J7,E$5:E$11)-SUMIF(D$5:D$11,J7,E$5:E$11)</f>
        <v>0</v>
      </c>
      <c r="L7" s="2" t="s">
        <v>10</v>
      </c>
      <c r="M7" s="2">
        <v>0</v>
      </c>
      <c r="O7" s="2"/>
      <c r="P7" s="2"/>
      <c r="Q7" s="2"/>
      <c r="R7" s="2"/>
    </row>
    <row r="8" spans="1:18" ht="21" x14ac:dyDescent="0.35">
      <c r="A8" s="7" t="s">
        <v>28</v>
      </c>
      <c r="B8" s="7"/>
      <c r="C8" s="2" t="s">
        <v>15</v>
      </c>
      <c r="D8" s="2" t="s">
        <v>7</v>
      </c>
      <c r="E8" s="3">
        <v>40</v>
      </c>
      <c r="F8" s="2"/>
      <c r="G8" s="2"/>
      <c r="H8" s="2">
        <v>3</v>
      </c>
      <c r="I8" s="2"/>
      <c r="J8" s="2" t="s">
        <v>8</v>
      </c>
      <c r="K8" s="3">
        <f>SUMIF(C$5:C$11,J8,E$5:E$11)-SUMIF(D$5:D$11,J8,E$5:E$11)</f>
        <v>-30</v>
      </c>
      <c r="L8" s="2" t="s">
        <v>10</v>
      </c>
      <c r="M8" s="2">
        <v>-30</v>
      </c>
      <c r="O8" s="2"/>
      <c r="P8" s="2"/>
      <c r="Q8" s="2"/>
      <c r="R8" s="2"/>
    </row>
    <row r="9" spans="1:18" x14ac:dyDescent="0.25">
      <c r="C9" s="2" t="s">
        <v>7</v>
      </c>
      <c r="D9" s="2" t="s">
        <v>9</v>
      </c>
      <c r="E9" s="3">
        <v>60</v>
      </c>
      <c r="F9" s="2" t="s">
        <v>12</v>
      </c>
      <c r="G9" s="2">
        <v>80</v>
      </c>
      <c r="H9" s="2">
        <v>1</v>
      </c>
      <c r="I9" s="2"/>
      <c r="J9" s="2" t="s">
        <v>9</v>
      </c>
      <c r="K9" s="3">
        <f>SUMIF($C$5:$C$11,J9,$E$5:$E$11)-SUMIF($D$5:$D$11,J9,$E$5:$E$11)</f>
        <v>-60</v>
      </c>
      <c r="L9" s="2" t="s">
        <v>10</v>
      </c>
      <c r="M9" s="2">
        <v>-60</v>
      </c>
      <c r="O9" s="2"/>
      <c r="P9" s="2"/>
      <c r="Q9" s="2"/>
      <c r="R9" s="2"/>
    </row>
    <row r="10" spans="1:18" x14ac:dyDescent="0.25">
      <c r="C10" s="2" t="s">
        <v>8</v>
      </c>
      <c r="D10" s="2" t="s">
        <v>9</v>
      </c>
      <c r="E10" s="3">
        <v>0</v>
      </c>
      <c r="F10" s="2"/>
      <c r="G10" s="2"/>
      <c r="H10" s="2">
        <v>3</v>
      </c>
      <c r="I10" s="2"/>
      <c r="J10" s="2"/>
      <c r="K10" s="9"/>
      <c r="L10" s="2"/>
      <c r="M10" s="2"/>
      <c r="O10" s="2"/>
      <c r="P10" s="2"/>
      <c r="Q10" s="2"/>
      <c r="R10" s="2"/>
    </row>
    <row r="11" spans="1:18" ht="18.75" x14ac:dyDescent="0.3">
      <c r="A11" s="11" t="s">
        <v>19</v>
      </c>
      <c r="B11" s="11"/>
      <c r="C11" s="2" t="s">
        <v>9</v>
      </c>
      <c r="D11" s="2" t="s">
        <v>8</v>
      </c>
      <c r="E11" s="3">
        <v>0</v>
      </c>
      <c r="F11" s="2"/>
      <c r="G11" s="2"/>
      <c r="H11" s="2">
        <v>2</v>
      </c>
      <c r="I11" s="2"/>
      <c r="J11" s="2"/>
      <c r="K11" s="9"/>
      <c r="L11" s="2"/>
      <c r="M11" s="2"/>
      <c r="O11" s="2"/>
      <c r="P11" s="2"/>
      <c r="Q11" s="2"/>
      <c r="R11" s="2"/>
    </row>
    <row r="12" spans="1:18" x14ac:dyDescent="0.25">
      <c r="C12" s="2"/>
      <c r="D12" s="2"/>
      <c r="E12" s="8"/>
      <c r="F12" s="2"/>
      <c r="G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75" x14ac:dyDescent="0.25">
      <c r="A13" s="2"/>
      <c r="B13" s="2"/>
      <c r="C13" s="4"/>
      <c r="D13" s="5" t="s">
        <v>18</v>
      </c>
      <c r="E13" s="4">
        <f>SUMPRODUCT(E5:E11,H5:H11)</f>
        <v>530</v>
      </c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2"/>
      <c r="B14" s="2"/>
      <c r="C14" s="2"/>
      <c r="D14" s="2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2"/>
      <c r="B15" s="2"/>
      <c r="C15" s="2"/>
      <c r="D15" s="2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"/>
      <c r="B16" s="2"/>
      <c r="C16" s="2"/>
      <c r="D16" s="2"/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</sheetData>
  <mergeCells count="2">
    <mergeCell ref="E1:H1"/>
    <mergeCell ref="E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zoomScale="83" workbookViewId="0">
      <selection activeCell="A12" sqref="A12"/>
    </sheetView>
  </sheetViews>
  <sheetFormatPr defaultRowHeight="15" x14ac:dyDescent="0.25"/>
  <cols>
    <col min="1" max="1" width="38.7109375" customWidth="1"/>
    <col min="2" max="2" width="13" customWidth="1"/>
    <col min="4" max="4" width="13.7109375" customWidth="1"/>
    <col min="5" max="5" width="16.28515625" customWidth="1"/>
    <col min="7" max="7" width="12.28515625" customWidth="1"/>
    <col min="8" max="8" width="15.28515625" customWidth="1"/>
    <col min="11" max="11" width="10.5703125" customWidth="1"/>
    <col min="12" max="12" width="13.7109375" customWidth="1"/>
    <col min="13" max="13" width="14" customWidth="1"/>
  </cols>
  <sheetData>
    <row r="1" spans="1:14" ht="21" x14ac:dyDescent="0.35">
      <c r="E1" s="14" t="s">
        <v>14</v>
      </c>
      <c r="F1" s="14"/>
      <c r="G1" s="14"/>
      <c r="H1" s="14"/>
    </row>
    <row r="2" spans="1:14" ht="23.25" x14ac:dyDescent="0.35">
      <c r="E2" s="15" t="s">
        <v>13</v>
      </c>
      <c r="F2" s="15"/>
      <c r="G2" s="15"/>
      <c r="H2" s="15"/>
    </row>
    <row r="4" spans="1:14" ht="15.75" x14ac:dyDescent="0.25">
      <c r="B4" s="6"/>
      <c r="C4" s="12" t="s">
        <v>0</v>
      </c>
      <c r="D4" s="12" t="s">
        <v>1</v>
      </c>
      <c r="E4" s="12" t="s">
        <v>16</v>
      </c>
      <c r="F4" s="12"/>
      <c r="G4" s="12" t="s">
        <v>11</v>
      </c>
      <c r="H4" s="12" t="s">
        <v>17</v>
      </c>
      <c r="I4" s="12"/>
      <c r="J4" s="12" t="s">
        <v>2</v>
      </c>
      <c r="K4" s="12" t="s">
        <v>3</v>
      </c>
      <c r="L4" s="12"/>
      <c r="M4" s="12" t="s">
        <v>4</v>
      </c>
    </row>
    <row r="5" spans="1:14" ht="21" x14ac:dyDescent="0.35">
      <c r="A5" s="7" t="s">
        <v>26</v>
      </c>
      <c r="B5" s="7"/>
      <c r="C5" s="2" t="s">
        <v>5</v>
      </c>
      <c r="D5" s="2" t="s">
        <v>6</v>
      </c>
      <c r="E5" s="3">
        <v>0</v>
      </c>
      <c r="F5" s="2" t="s">
        <v>12</v>
      </c>
      <c r="G5" s="2">
        <v>10</v>
      </c>
      <c r="H5" s="2">
        <v>2</v>
      </c>
      <c r="I5" s="2"/>
      <c r="J5" s="2" t="s">
        <v>5</v>
      </c>
      <c r="K5" s="3">
        <f>SUMIF(C$5:C$11,J5,E$5:E$11)-SUMIF(D$5:D$11,J5,E$5:E$11)</f>
        <v>50</v>
      </c>
      <c r="L5" s="2" t="s">
        <v>10</v>
      </c>
      <c r="M5" s="2">
        <v>50</v>
      </c>
    </row>
    <row r="6" spans="1:14" ht="21" x14ac:dyDescent="0.35">
      <c r="A6" s="7" t="s">
        <v>27</v>
      </c>
      <c r="B6" s="7"/>
      <c r="C6" s="2" t="s">
        <v>5</v>
      </c>
      <c r="D6" s="2" t="s">
        <v>7</v>
      </c>
      <c r="E6" s="3">
        <v>20</v>
      </c>
      <c r="F6" s="2"/>
      <c r="G6" s="2"/>
      <c r="H6" s="2">
        <v>4</v>
      </c>
      <c r="I6" s="2"/>
      <c r="J6" s="2" t="s">
        <v>6</v>
      </c>
      <c r="K6" s="3">
        <f>SUMIF(C$5:C$11,J6,E$5:E$11)-SUMIF(D$5:D$11,J6,E$5:E$11)</f>
        <v>0</v>
      </c>
      <c r="L6" s="2" t="s">
        <v>10</v>
      </c>
      <c r="M6" s="2">
        <v>40</v>
      </c>
    </row>
    <row r="7" spans="1:14" ht="21" x14ac:dyDescent="0.35">
      <c r="A7" s="7" t="s">
        <v>28</v>
      </c>
      <c r="B7" s="7"/>
      <c r="C7" s="2" t="s">
        <v>5</v>
      </c>
      <c r="D7" s="2" t="s">
        <v>8</v>
      </c>
      <c r="E7" s="3">
        <v>30</v>
      </c>
      <c r="F7" s="2"/>
      <c r="G7" s="2"/>
      <c r="H7" s="2">
        <v>9</v>
      </c>
      <c r="I7" s="2"/>
      <c r="J7" s="2" t="s">
        <v>7</v>
      </c>
      <c r="K7" s="3">
        <f>SUMIF(C$5:C$11,J7,E$5:E$11)-SUMIF(D$5:D$11,J7,E$5:E$11)</f>
        <v>0</v>
      </c>
      <c r="L7" s="2" t="s">
        <v>10</v>
      </c>
      <c r="M7" s="2">
        <v>0</v>
      </c>
    </row>
    <row r="8" spans="1:14" x14ac:dyDescent="0.25">
      <c r="C8" s="2" t="s">
        <v>15</v>
      </c>
      <c r="D8" s="2" t="s">
        <v>7</v>
      </c>
      <c r="E8" s="3">
        <v>40</v>
      </c>
      <c r="F8" s="2"/>
      <c r="G8" s="2"/>
      <c r="H8" s="2">
        <v>3</v>
      </c>
      <c r="I8" s="2"/>
      <c r="J8" s="2" t="s">
        <v>8</v>
      </c>
      <c r="K8" s="3">
        <f>SUMIF(C$5:C$11,J8,E$5:E$11)-SUMIF(D$5:D$11,J8,E$5:E$11)</f>
        <v>-30</v>
      </c>
      <c r="L8" s="2" t="s">
        <v>10</v>
      </c>
      <c r="M8" s="2">
        <v>-30</v>
      </c>
    </row>
    <row r="9" spans="1:14" x14ac:dyDescent="0.25">
      <c r="B9" s="2"/>
      <c r="C9" s="2" t="s">
        <v>7</v>
      </c>
      <c r="D9" s="2" t="s">
        <v>9</v>
      </c>
      <c r="E9" s="3">
        <v>60</v>
      </c>
      <c r="F9" s="2" t="s">
        <v>12</v>
      </c>
      <c r="G9" s="2">
        <v>80</v>
      </c>
      <c r="H9" s="2">
        <v>1</v>
      </c>
      <c r="I9" s="2"/>
      <c r="J9" s="2" t="s">
        <v>9</v>
      </c>
      <c r="K9" s="3">
        <f>SUMIF($C$5:$C$11,J9,$E$5:$E$11)-SUMIF($D$5:$D$11,J9,$E$5:$E$11)</f>
        <v>-60</v>
      </c>
      <c r="L9" s="2" t="s">
        <v>10</v>
      </c>
      <c r="M9" s="2">
        <v>-60</v>
      </c>
    </row>
    <row r="10" spans="1:14" ht="18.75" x14ac:dyDescent="0.3">
      <c r="A10" s="11" t="s">
        <v>21</v>
      </c>
      <c r="B10" s="2"/>
      <c r="C10" s="2" t="s">
        <v>8</v>
      </c>
      <c r="D10" s="2" t="s">
        <v>9</v>
      </c>
      <c r="E10" s="3">
        <v>0</v>
      </c>
      <c r="F10" s="2"/>
      <c r="G10" s="2"/>
      <c r="H10" s="2">
        <v>3</v>
      </c>
      <c r="I10" s="2"/>
      <c r="J10" s="2"/>
      <c r="K10" s="9"/>
      <c r="L10" s="2"/>
      <c r="M10" s="2"/>
    </row>
    <row r="11" spans="1:14" x14ac:dyDescent="0.25">
      <c r="B11" s="2"/>
      <c r="C11" s="2" t="s">
        <v>9</v>
      </c>
      <c r="D11" s="2" t="s">
        <v>8</v>
      </c>
      <c r="E11" s="3">
        <v>0</v>
      </c>
      <c r="F11" s="2"/>
      <c r="G11" s="2"/>
      <c r="H11" s="2">
        <v>2</v>
      </c>
      <c r="I11" s="2"/>
      <c r="J11" s="2"/>
      <c r="K11" s="9"/>
      <c r="L11" s="2"/>
      <c r="M11" s="2"/>
    </row>
    <row r="12" spans="1:14" x14ac:dyDescent="0.25">
      <c r="B12" s="2"/>
      <c r="C12" s="2"/>
      <c r="D12" s="2"/>
      <c r="E12" s="8"/>
      <c r="F12" s="2"/>
      <c r="G12" s="2"/>
      <c r="J12" s="2"/>
      <c r="K12" s="2"/>
      <c r="L12" s="2"/>
      <c r="M12" s="2"/>
      <c r="N12" s="2"/>
    </row>
    <row r="13" spans="1:14" ht="15.75" x14ac:dyDescent="0.25">
      <c r="A13" s="2"/>
      <c r="B13" s="2"/>
      <c r="C13" s="4"/>
      <c r="D13" s="5" t="s">
        <v>18</v>
      </c>
      <c r="E13" s="4">
        <f>SUMPRODUCT(E5:E11,H5:H11)</f>
        <v>530</v>
      </c>
      <c r="F13" s="8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/>
      <c r="B14" s="2"/>
      <c r="C14" s="2"/>
      <c r="D14" s="2"/>
      <c r="E14" s="8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2"/>
      <c r="B15" s="2"/>
      <c r="C15" s="2"/>
      <c r="D15" s="2"/>
      <c r="E15" s="8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/>
      <c r="B16" s="2"/>
      <c r="C16" s="2"/>
      <c r="D16" s="2"/>
      <c r="E16" s="8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</sheetData>
  <mergeCells count="2">
    <mergeCell ref="E2:H2"/>
    <mergeCell ref="E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"/>
  <sheetViews>
    <sheetView zoomScaleNormal="100" workbookViewId="0">
      <selection activeCell="A7" sqref="A7"/>
    </sheetView>
  </sheetViews>
  <sheetFormatPr defaultRowHeight="15" x14ac:dyDescent="0.25"/>
  <cols>
    <col min="1" max="1" width="38.28515625" customWidth="1"/>
    <col min="2" max="2" width="13.7109375" customWidth="1"/>
    <col min="4" max="4" width="13.5703125" customWidth="1"/>
    <col min="8" max="8" width="11.42578125" customWidth="1"/>
    <col min="11" max="11" width="10.5703125" customWidth="1"/>
    <col min="13" max="13" width="15.140625" customWidth="1"/>
  </cols>
  <sheetData>
    <row r="1" spans="1:14" ht="21" x14ac:dyDescent="0.35">
      <c r="F1" s="14" t="s">
        <v>14</v>
      </c>
      <c r="G1" s="14"/>
      <c r="H1" s="14"/>
      <c r="I1" s="14"/>
      <c r="J1" s="14"/>
    </row>
    <row r="2" spans="1:14" ht="23.25" x14ac:dyDescent="0.35">
      <c r="F2" s="15" t="s">
        <v>13</v>
      </c>
      <c r="G2" s="15"/>
      <c r="H2" s="15"/>
      <c r="I2" s="15"/>
      <c r="J2" s="15"/>
    </row>
    <row r="4" spans="1:14" ht="15.75" x14ac:dyDescent="0.25">
      <c r="B4" s="6"/>
      <c r="C4" s="12" t="s">
        <v>0</v>
      </c>
      <c r="D4" s="12" t="s">
        <v>1</v>
      </c>
      <c r="E4" s="12" t="s">
        <v>16</v>
      </c>
      <c r="F4" s="12"/>
      <c r="G4" s="12" t="s">
        <v>11</v>
      </c>
      <c r="H4" s="12" t="s">
        <v>17</v>
      </c>
      <c r="I4" s="12"/>
      <c r="J4" s="12" t="s">
        <v>2</v>
      </c>
      <c r="K4" s="12" t="s">
        <v>3</v>
      </c>
      <c r="L4" s="12"/>
      <c r="M4" s="12" t="s">
        <v>4</v>
      </c>
    </row>
    <row r="5" spans="1:14" ht="21" x14ac:dyDescent="0.35">
      <c r="A5" s="7" t="s">
        <v>29</v>
      </c>
      <c r="B5" s="7"/>
      <c r="C5" s="2" t="s">
        <v>5</v>
      </c>
      <c r="D5" s="2" t="s">
        <v>6</v>
      </c>
      <c r="E5" s="3">
        <v>1</v>
      </c>
      <c r="F5" s="2"/>
      <c r="G5" s="2"/>
      <c r="H5" s="2">
        <v>2</v>
      </c>
      <c r="I5" s="2"/>
      <c r="J5" s="2" t="s">
        <v>23</v>
      </c>
      <c r="K5" s="3">
        <f t="shared" ref="K5:K11" si="0">SUMIF(C$5:C$23,J5,E$5:E$23)-SUMIF(D$5:D$23,J5,E$5:E$23)</f>
        <v>1</v>
      </c>
      <c r="L5" s="2" t="s">
        <v>10</v>
      </c>
      <c r="M5" s="2">
        <v>1</v>
      </c>
    </row>
    <row r="6" spans="1:14" ht="21" x14ac:dyDescent="0.35">
      <c r="A6" s="7" t="s">
        <v>27</v>
      </c>
      <c r="B6" s="7"/>
      <c r="C6" s="2" t="s">
        <v>5</v>
      </c>
      <c r="D6" s="2" t="s">
        <v>8</v>
      </c>
      <c r="E6" s="3">
        <v>0</v>
      </c>
      <c r="F6" s="2"/>
      <c r="G6" s="2"/>
      <c r="H6" s="2">
        <v>7</v>
      </c>
      <c r="I6" s="2"/>
      <c r="J6" s="2" t="s">
        <v>5</v>
      </c>
      <c r="K6" s="3">
        <f t="shared" si="0"/>
        <v>0</v>
      </c>
      <c r="L6" s="2" t="s">
        <v>10</v>
      </c>
      <c r="M6" s="2">
        <v>0</v>
      </c>
    </row>
    <row r="7" spans="1:14" ht="21" x14ac:dyDescent="0.35">
      <c r="A7" s="7" t="s">
        <v>28</v>
      </c>
      <c r="B7" s="7"/>
      <c r="C7" s="2" t="s">
        <v>6</v>
      </c>
      <c r="D7" s="2" t="s">
        <v>5</v>
      </c>
      <c r="E7" s="3">
        <v>0</v>
      </c>
      <c r="F7" s="2"/>
      <c r="G7" s="2"/>
      <c r="H7" s="2">
        <v>2</v>
      </c>
      <c r="I7" s="2"/>
      <c r="J7" s="2" t="s">
        <v>6</v>
      </c>
      <c r="K7" s="3">
        <f t="shared" si="0"/>
        <v>0</v>
      </c>
      <c r="L7" s="2" t="s">
        <v>10</v>
      </c>
      <c r="M7" s="2">
        <v>0</v>
      </c>
    </row>
    <row r="8" spans="1:14" x14ac:dyDescent="0.25">
      <c r="C8" s="2" t="s">
        <v>6</v>
      </c>
      <c r="D8" s="2" t="s">
        <v>8</v>
      </c>
      <c r="E8" s="3">
        <v>1</v>
      </c>
      <c r="F8" s="2"/>
      <c r="G8" s="2"/>
      <c r="H8" s="2">
        <v>4</v>
      </c>
      <c r="I8" s="2"/>
      <c r="J8" s="2" t="s">
        <v>7</v>
      </c>
      <c r="K8" s="3">
        <f t="shared" si="0"/>
        <v>0</v>
      </c>
      <c r="L8" s="2" t="s">
        <v>10</v>
      </c>
      <c r="M8" s="2">
        <v>0</v>
      </c>
    </row>
    <row r="9" spans="1:14" x14ac:dyDescent="0.25">
      <c r="B9" s="2"/>
      <c r="C9" s="2" t="s">
        <v>6</v>
      </c>
      <c r="D9" s="2" t="s">
        <v>9</v>
      </c>
      <c r="E9" s="3">
        <v>0</v>
      </c>
      <c r="F9" s="2"/>
      <c r="G9" s="2"/>
      <c r="H9" s="2">
        <v>3</v>
      </c>
      <c r="I9" s="2"/>
      <c r="J9" s="2" t="s">
        <v>8</v>
      </c>
      <c r="K9" s="3">
        <f t="shared" si="0"/>
        <v>0</v>
      </c>
      <c r="L9" s="2" t="s">
        <v>10</v>
      </c>
      <c r="M9" s="2">
        <v>0</v>
      </c>
    </row>
    <row r="10" spans="1:14" ht="18.75" x14ac:dyDescent="0.3">
      <c r="A10" s="11" t="s">
        <v>22</v>
      </c>
      <c r="B10" s="2"/>
      <c r="C10" s="2" t="s">
        <v>6</v>
      </c>
      <c r="D10" s="2" t="s">
        <v>7</v>
      </c>
      <c r="E10" s="3">
        <v>0</v>
      </c>
      <c r="F10" s="2"/>
      <c r="G10" s="2"/>
      <c r="H10" s="2">
        <v>1</v>
      </c>
      <c r="I10" s="2"/>
      <c r="J10" s="2" t="s">
        <v>9</v>
      </c>
      <c r="K10" s="3">
        <f t="shared" si="0"/>
        <v>0</v>
      </c>
      <c r="L10" s="2" t="s">
        <v>10</v>
      </c>
      <c r="M10" s="2">
        <v>0</v>
      </c>
    </row>
    <row r="11" spans="1:14" x14ac:dyDescent="0.25">
      <c r="B11" s="2"/>
      <c r="C11" s="2" t="s">
        <v>7</v>
      </c>
      <c r="D11" s="2" t="s">
        <v>6</v>
      </c>
      <c r="E11" s="3">
        <v>0</v>
      </c>
      <c r="F11" s="2"/>
      <c r="G11" s="2"/>
      <c r="H11" s="2">
        <v>1</v>
      </c>
      <c r="I11" s="2"/>
      <c r="J11" s="2" t="s">
        <v>24</v>
      </c>
      <c r="K11" s="3">
        <f t="shared" si="0"/>
        <v>-1</v>
      </c>
      <c r="L11" s="2" t="s">
        <v>10</v>
      </c>
      <c r="M11" s="2">
        <v>-1</v>
      </c>
    </row>
    <row r="12" spans="1:14" x14ac:dyDescent="0.25">
      <c r="B12" s="2"/>
      <c r="C12" s="2" t="s">
        <v>7</v>
      </c>
      <c r="D12" s="2" t="s">
        <v>9</v>
      </c>
      <c r="E12" s="3">
        <v>0</v>
      </c>
      <c r="F12" s="2"/>
      <c r="G12" s="2"/>
      <c r="H12" s="2">
        <v>4</v>
      </c>
      <c r="J12" s="2"/>
      <c r="K12" s="2"/>
      <c r="L12" s="2"/>
      <c r="M12" s="2"/>
      <c r="N12" s="2"/>
    </row>
    <row r="13" spans="1:14" ht="15.75" customHeight="1" x14ac:dyDescent="0.25">
      <c r="A13" s="2"/>
      <c r="B13" s="2"/>
      <c r="C13" s="2" t="s">
        <v>8</v>
      </c>
      <c r="D13" s="2" t="s">
        <v>24</v>
      </c>
      <c r="E13" s="3">
        <v>1</v>
      </c>
      <c r="F13" s="2"/>
      <c r="G13" s="2"/>
      <c r="H13" s="2">
        <v>5</v>
      </c>
      <c r="J13" s="2"/>
      <c r="K13" s="2"/>
      <c r="L13" s="2"/>
      <c r="M13" s="2"/>
      <c r="N13" s="2"/>
    </row>
    <row r="14" spans="1:14" ht="15.75" customHeight="1" x14ac:dyDescent="0.25">
      <c r="A14" s="2"/>
      <c r="B14" s="2"/>
      <c r="C14" s="2" t="s">
        <v>8</v>
      </c>
      <c r="D14" s="2" t="s">
        <v>9</v>
      </c>
      <c r="E14" s="3">
        <v>0</v>
      </c>
      <c r="F14" s="2"/>
      <c r="G14" s="2"/>
      <c r="H14" s="2">
        <v>1</v>
      </c>
      <c r="J14" s="2"/>
      <c r="K14" s="2"/>
      <c r="L14" s="2"/>
      <c r="M14" s="2"/>
      <c r="N14" s="2"/>
    </row>
    <row r="15" spans="1:14" ht="15.75" customHeight="1" x14ac:dyDescent="0.25">
      <c r="A15" s="2"/>
      <c r="B15" s="2"/>
      <c r="C15" s="2" t="s">
        <v>9</v>
      </c>
      <c r="D15" s="2" t="s">
        <v>24</v>
      </c>
      <c r="E15" s="3">
        <v>0</v>
      </c>
      <c r="F15" s="2"/>
      <c r="G15" s="2"/>
      <c r="H15" s="2">
        <v>7</v>
      </c>
      <c r="J15" s="2"/>
      <c r="K15" s="2"/>
      <c r="L15" s="2"/>
      <c r="M15" s="2"/>
      <c r="N15" s="2"/>
    </row>
    <row r="16" spans="1:14" x14ac:dyDescent="0.25">
      <c r="A16" s="2"/>
      <c r="B16" s="2"/>
      <c r="C16" s="2" t="s">
        <v>9</v>
      </c>
      <c r="D16" s="2" t="s">
        <v>8</v>
      </c>
      <c r="E16" s="3">
        <v>0</v>
      </c>
      <c r="F16" s="2"/>
      <c r="G16" s="2"/>
      <c r="H16" s="2">
        <v>1</v>
      </c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 t="s">
        <v>9</v>
      </c>
      <c r="D17" s="2" t="s">
        <v>6</v>
      </c>
      <c r="E17" s="3">
        <v>0</v>
      </c>
      <c r="F17" s="2"/>
      <c r="G17" s="2"/>
      <c r="H17" s="2">
        <v>3</v>
      </c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 t="s">
        <v>9</v>
      </c>
      <c r="D18" s="2" t="s">
        <v>7</v>
      </c>
      <c r="E18" s="3">
        <v>0</v>
      </c>
      <c r="F18" s="2"/>
      <c r="G18" s="2"/>
      <c r="H18" s="2">
        <v>4</v>
      </c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 t="s">
        <v>23</v>
      </c>
      <c r="D19" s="2" t="s">
        <v>5</v>
      </c>
      <c r="E19" s="3">
        <v>1</v>
      </c>
      <c r="F19" s="2"/>
      <c r="G19" s="2"/>
      <c r="H19" s="2">
        <v>2</v>
      </c>
      <c r="I19" s="2"/>
      <c r="J19" s="2"/>
      <c r="K19" s="2"/>
      <c r="L19" s="2"/>
      <c r="M19" s="2"/>
      <c r="N19" s="2"/>
    </row>
    <row r="20" spans="1:14" x14ac:dyDescent="0.25">
      <c r="C20" s="2" t="s">
        <v>23</v>
      </c>
      <c r="D20" s="2" t="s">
        <v>6</v>
      </c>
      <c r="E20" s="3">
        <v>0</v>
      </c>
      <c r="F20" s="2"/>
      <c r="G20" s="2"/>
      <c r="H20" s="2">
        <v>5</v>
      </c>
      <c r="I20" s="2"/>
      <c r="J20" s="2"/>
      <c r="K20" s="2"/>
      <c r="L20" s="2"/>
      <c r="M20" s="2"/>
      <c r="N20" s="2"/>
    </row>
    <row r="21" spans="1:14" x14ac:dyDescent="0.25">
      <c r="A21" s="2"/>
      <c r="B21" s="2"/>
      <c r="C21" s="2" t="s">
        <v>23</v>
      </c>
      <c r="D21" s="2" t="s">
        <v>7</v>
      </c>
      <c r="E21" s="3">
        <v>0</v>
      </c>
      <c r="F21" s="2"/>
      <c r="G21" s="2"/>
      <c r="H21" s="2">
        <v>4</v>
      </c>
      <c r="I21" s="2"/>
      <c r="J21" s="2"/>
      <c r="K21" s="2"/>
      <c r="L21" s="2"/>
      <c r="M21" s="2"/>
      <c r="N21" s="2"/>
    </row>
    <row r="22" spans="1:14" x14ac:dyDescent="0.25">
      <c r="C22" s="2" t="s">
        <v>8</v>
      </c>
      <c r="D22" s="2" t="s">
        <v>6</v>
      </c>
      <c r="E22" s="3">
        <v>0</v>
      </c>
      <c r="H22" s="2">
        <v>4</v>
      </c>
    </row>
    <row r="23" spans="1:14" x14ac:dyDescent="0.25">
      <c r="C23" s="2" t="s">
        <v>8</v>
      </c>
      <c r="D23" s="2" t="s">
        <v>5</v>
      </c>
      <c r="E23" s="3">
        <v>0</v>
      </c>
      <c r="F23" s="2"/>
      <c r="G23" s="2"/>
      <c r="H23" s="2">
        <v>7</v>
      </c>
    </row>
    <row r="24" spans="1:14" x14ac:dyDescent="0.25">
      <c r="C24" s="2"/>
      <c r="D24" s="2"/>
      <c r="F24" s="2"/>
      <c r="G24" s="2"/>
    </row>
    <row r="25" spans="1:14" ht="15.75" x14ac:dyDescent="0.25">
      <c r="C25" s="4"/>
      <c r="D25" s="5" t="s">
        <v>18</v>
      </c>
      <c r="E25" s="4">
        <f>SUMPRODUCT(E5:E23,H5:H23)</f>
        <v>13</v>
      </c>
      <c r="F25" s="8"/>
      <c r="G25" s="2"/>
    </row>
    <row r="26" spans="1:14" x14ac:dyDescent="0.25">
      <c r="C26" s="2"/>
      <c r="D26" s="2"/>
      <c r="F26" s="2"/>
      <c r="G26" s="2"/>
    </row>
    <row r="27" spans="1:14" x14ac:dyDescent="0.25">
      <c r="C27" s="2"/>
      <c r="D27" s="2"/>
      <c r="F27" s="2"/>
      <c r="G27" s="2"/>
    </row>
    <row r="28" spans="1:14" x14ac:dyDescent="0.25">
      <c r="C28" s="2"/>
      <c r="D28" s="2"/>
      <c r="F28" s="2"/>
      <c r="G28" s="2"/>
    </row>
  </sheetData>
  <mergeCells count="2">
    <mergeCell ref="F1:J1"/>
    <mergeCell ref="F2:J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tabSelected="1" zoomScale="91" workbookViewId="0">
      <selection activeCell="A7" sqref="A7"/>
    </sheetView>
  </sheetViews>
  <sheetFormatPr defaultRowHeight="15" x14ac:dyDescent="0.25"/>
  <cols>
    <col min="1" max="1" width="39.85546875" customWidth="1"/>
    <col min="2" max="2" width="12.28515625" customWidth="1"/>
    <col min="6" max="6" width="13" customWidth="1"/>
  </cols>
  <sheetData>
    <row r="1" spans="1:14" ht="21" x14ac:dyDescent="0.35">
      <c r="F1" s="14" t="s">
        <v>14</v>
      </c>
      <c r="G1" s="14"/>
      <c r="H1" s="14"/>
      <c r="I1" s="14"/>
      <c r="J1" s="14"/>
    </row>
    <row r="2" spans="1:14" ht="23.25" x14ac:dyDescent="0.35">
      <c r="F2" s="15" t="s">
        <v>13</v>
      </c>
      <c r="G2" s="15"/>
      <c r="H2" s="15"/>
      <c r="I2" s="15"/>
      <c r="J2" s="15"/>
    </row>
    <row r="4" spans="1:14" x14ac:dyDescent="0.25">
      <c r="C4" s="12" t="s">
        <v>0</v>
      </c>
      <c r="D4" s="12" t="s">
        <v>1</v>
      </c>
      <c r="E4" s="12" t="s">
        <v>16</v>
      </c>
      <c r="F4" s="12"/>
      <c r="G4" s="12" t="s">
        <v>11</v>
      </c>
      <c r="H4" s="12" t="s">
        <v>17</v>
      </c>
      <c r="I4" s="12"/>
      <c r="J4" s="12" t="s">
        <v>2</v>
      </c>
      <c r="K4" s="12" t="s">
        <v>3</v>
      </c>
      <c r="L4" s="12"/>
      <c r="M4" s="12" t="s">
        <v>4</v>
      </c>
      <c r="N4" s="13"/>
    </row>
    <row r="5" spans="1:14" ht="21" x14ac:dyDescent="0.35">
      <c r="A5" s="7" t="s">
        <v>26</v>
      </c>
      <c r="B5" s="7"/>
      <c r="C5" s="2" t="s">
        <v>5</v>
      </c>
      <c r="D5" s="2" t="s">
        <v>6</v>
      </c>
      <c r="E5" s="3">
        <v>0</v>
      </c>
      <c r="F5" s="2"/>
      <c r="H5" s="2">
        <v>1</v>
      </c>
      <c r="I5" s="2"/>
      <c r="J5" s="2" t="s">
        <v>23</v>
      </c>
      <c r="K5" s="3">
        <f t="shared" ref="K5:K11" si="0">SUMIF(C$5:C$17,J5,E$5:E$17)-SUMIF(D$5:D$17,J5,E$5:E$17)</f>
        <v>1</v>
      </c>
      <c r="L5" s="2" t="s">
        <v>10</v>
      </c>
      <c r="M5" s="2">
        <v>1</v>
      </c>
    </row>
    <row r="6" spans="1:14" ht="21" x14ac:dyDescent="0.35">
      <c r="A6" s="7" t="s">
        <v>27</v>
      </c>
      <c r="B6" s="7"/>
      <c r="C6" s="2" t="s">
        <v>5</v>
      </c>
      <c r="D6" s="2" t="s">
        <v>8</v>
      </c>
      <c r="E6" s="3">
        <v>0</v>
      </c>
      <c r="F6" s="2"/>
      <c r="H6" s="2">
        <v>3</v>
      </c>
      <c r="I6" s="2"/>
      <c r="J6" s="2" t="s">
        <v>5</v>
      </c>
      <c r="K6" s="3">
        <f t="shared" si="0"/>
        <v>0</v>
      </c>
      <c r="L6" s="2" t="s">
        <v>10</v>
      </c>
      <c r="M6" s="2">
        <v>0</v>
      </c>
    </row>
    <row r="7" spans="1:14" ht="21" x14ac:dyDescent="0.35">
      <c r="A7" s="7" t="s">
        <v>28</v>
      </c>
      <c r="B7" s="7"/>
      <c r="C7" s="2" t="s">
        <v>6</v>
      </c>
      <c r="D7" s="2" t="s">
        <v>8</v>
      </c>
      <c r="E7" s="3">
        <v>0</v>
      </c>
      <c r="F7" s="2"/>
      <c r="H7" s="2">
        <v>4</v>
      </c>
      <c r="I7" s="2"/>
      <c r="J7" s="2" t="s">
        <v>6</v>
      </c>
      <c r="K7" s="3">
        <f t="shared" si="0"/>
        <v>0</v>
      </c>
      <c r="L7" s="2" t="s">
        <v>10</v>
      </c>
      <c r="M7" s="2">
        <v>0</v>
      </c>
    </row>
    <row r="8" spans="1:14" x14ac:dyDescent="0.25">
      <c r="C8" s="2" t="s">
        <v>6</v>
      </c>
      <c r="D8" s="2" t="s">
        <v>9</v>
      </c>
      <c r="E8" s="3">
        <v>0</v>
      </c>
      <c r="F8" s="2"/>
      <c r="H8" s="2">
        <v>5</v>
      </c>
      <c r="I8" s="2"/>
      <c r="J8" s="2" t="s">
        <v>7</v>
      </c>
      <c r="K8" s="3">
        <f t="shared" si="0"/>
        <v>0</v>
      </c>
      <c r="L8" s="2" t="s">
        <v>10</v>
      </c>
      <c r="M8" s="2">
        <v>0</v>
      </c>
    </row>
    <row r="9" spans="1:14" x14ac:dyDescent="0.25">
      <c r="C9" s="2" t="s">
        <v>6</v>
      </c>
      <c r="D9" s="2" t="s">
        <v>7</v>
      </c>
      <c r="E9" s="3">
        <v>0</v>
      </c>
      <c r="F9" s="2"/>
      <c r="G9" s="2"/>
      <c r="H9" s="2">
        <v>2</v>
      </c>
      <c r="I9" s="2"/>
      <c r="J9" s="2" t="s">
        <v>8</v>
      </c>
      <c r="K9" s="3">
        <f t="shared" si="0"/>
        <v>0</v>
      </c>
      <c r="L9" s="2" t="s">
        <v>10</v>
      </c>
      <c r="M9" s="2">
        <v>0</v>
      </c>
    </row>
    <row r="10" spans="1:14" ht="18.75" x14ac:dyDescent="0.3">
      <c r="A10" s="11" t="s">
        <v>20</v>
      </c>
      <c r="B10" s="11"/>
      <c r="C10" s="2" t="s">
        <v>7</v>
      </c>
      <c r="D10" s="2" t="s">
        <v>9</v>
      </c>
      <c r="E10" s="3">
        <v>1</v>
      </c>
      <c r="F10" s="2"/>
      <c r="G10" s="2"/>
      <c r="H10" s="2">
        <v>4</v>
      </c>
      <c r="I10" s="2"/>
      <c r="J10" s="2" t="s">
        <v>9</v>
      </c>
      <c r="K10" s="3">
        <f t="shared" si="0"/>
        <v>0</v>
      </c>
      <c r="L10" s="2" t="s">
        <v>10</v>
      </c>
      <c r="M10" s="2">
        <v>0</v>
      </c>
    </row>
    <row r="11" spans="1:14" x14ac:dyDescent="0.25">
      <c r="C11" s="2" t="s">
        <v>8</v>
      </c>
      <c r="D11" s="2" t="s">
        <v>24</v>
      </c>
      <c r="E11" s="3">
        <v>0</v>
      </c>
      <c r="F11" s="2"/>
      <c r="G11" s="2"/>
      <c r="H11" s="2">
        <v>9</v>
      </c>
      <c r="I11" s="2"/>
      <c r="J11" s="2" t="s">
        <v>24</v>
      </c>
      <c r="K11" s="3">
        <f t="shared" si="0"/>
        <v>-1</v>
      </c>
      <c r="L11" s="2" t="s">
        <v>10</v>
      </c>
      <c r="M11" s="2">
        <v>-1</v>
      </c>
    </row>
    <row r="12" spans="1:14" x14ac:dyDescent="0.25">
      <c r="C12" s="2" t="s">
        <v>9</v>
      </c>
      <c r="D12" s="2" t="s">
        <v>24</v>
      </c>
      <c r="E12" s="3">
        <v>1</v>
      </c>
      <c r="F12" s="2"/>
      <c r="G12" s="2"/>
      <c r="H12" s="2">
        <v>6</v>
      </c>
      <c r="J12" s="2"/>
      <c r="K12" s="2"/>
      <c r="L12" s="2"/>
      <c r="M12" s="2"/>
      <c r="N12" s="2"/>
    </row>
    <row r="13" spans="1:14" x14ac:dyDescent="0.25">
      <c r="C13" s="2" t="s">
        <v>9</v>
      </c>
      <c r="D13" s="2" t="s">
        <v>8</v>
      </c>
      <c r="E13" s="3">
        <v>0</v>
      </c>
      <c r="F13" s="2"/>
      <c r="G13" s="2"/>
      <c r="H13" s="2">
        <v>1</v>
      </c>
      <c r="J13" s="2"/>
      <c r="K13" s="2"/>
      <c r="L13" s="2"/>
      <c r="M13" s="2"/>
      <c r="N13" s="2"/>
    </row>
    <row r="14" spans="1:14" x14ac:dyDescent="0.25">
      <c r="C14" s="2" t="s">
        <v>23</v>
      </c>
      <c r="D14" s="2" t="s">
        <v>5</v>
      </c>
      <c r="E14" s="3">
        <v>0</v>
      </c>
      <c r="F14" s="2"/>
      <c r="G14" s="2"/>
      <c r="H14" s="2">
        <v>5</v>
      </c>
      <c r="J14" s="2"/>
      <c r="K14" s="2"/>
      <c r="L14" s="2"/>
      <c r="M14" s="2"/>
      <c r="N14" s="2"/>
    </row>
    <row r="15" spans="1:14" x14ac:dyDescent="0.25">
      <c r="C15" s="2" t="s">
        <v>23</v>
      </c>
      <c r="D15" s="2" t="s">
        <v>6</v>
      </c>
      <c r="E15" s="3">
        <v>0</v>
      </c>
      <c r="F15" s="2"/>
      <c r="G15" s="2"/>
      <c r="H15" s="2">
        <v>7</v>
      </c>
      <c r="J15" s="2"/>
      <c r="K15" s="2"/>
      <c r="L15" s="2"/>
      <c r="M15" s="2"/>
      <c r="N15" s="2"/>
    </row>
    <row r="16" spans="1:14" x14ac:dyDescent="0.25">
      <c r="C16" s="2" t="s">
        <v>23</v>
      </c>
      <c r="D16" s="2" t="s">
        <v>7</v>
      </c>
      <c r="E16" s="3">
        <v>1</v>
      </c>
      <c r="F16" s="2"/>
      <c r="G16" s="2"/>
      <c r="H16" s="2">
        <v>4</v>
      </c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 t="s">
        <v>23</v>
      </c>
      <c r="D17" s="2" t="s">
        <v>24</v>
      </c>
      <c r="E17" s="3">
        <v>0</v>
      </c>
      <c r="F17" s="2" t="s">
        <v>25</v>
      </c>
      <c r="G17" s="2">
        <v>50</v>
      </c>
      <c r="H17" s="2">
        <v>100</v>
      </c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/>
      <c r="D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D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5.75" x14ac:dyDescent="0.25">
      <c r="C20" s="2"/>
      <c r="D20" s="2"/>
      <c r="E20" s="4"/>
      <c r="F20" s="5" t="s">
        <v>18</v>
      </c>
      <c r="G20" s="4">
        <f>SUMPRODUCT(E5:E17,H5:H17)</f>
        <v>14</v>
      </c>
      <c r="H20" s="10"/>
      <c r="I20" s="2"/>
      <c r="J20" s="2"/>
      <c r="K20" s="2"/>
      <c r="L20" s="2"/>
      <c r="M20" s="2"/>
      <c r="N20" s="2"/>
    </row>
    <row r="21" spans="1:14" x14ac:dyDescent="0.25">
      <c r="A21" s="2"/>
      <c r="B21" s="2"/>
      <c r="C21" s="2"/>
      <c r="D21" s="2"/>
      <c r="F21" s="2"/>
      <c r="G21" s="2"/>
      <c r="H21" s="2"/>
      <c r="I21" s="2"/>
      <c r="J21" s="2"/>
      <c r="K21" s="2"/>
      <c r="L21" s="2"/>
      <c r="M21" s="2"/>
      <c r="N21" s="2"/>
    </row>
    <row r="23" spans="1:14" x14ac:dyDescent="0.25">
      <c r="C23" s="2"/>
      <c r="D23" s="2"/>
      <c r="F23" s="2"/>
      <c r="G23" s="2"/>
    </row>
    <row r="24" spans="1:14" x14ac:dyDescent="0.25">
      <c r="C24" s="2"/>
      <c r="D24" s="2"/>
      <c r="F24" s="2"/>
      <c r="G24" s="2"/>
    </row>
    <row r="25" spans="1:14" x14ac:dyDescent="0.25">
      <c r="G25" s="2"/>
    </row>
    <row r="26" spans="1:14" x14ac:dyDescent="0.25">
      <c r="C26" s="2"/>
      <c r="D26" s="2"/>
      <c r="F26" s="2"/>
      <c r="G26" s="2"/>
    </row>
    <row r="27" spans="1:14" x14ac:dyDescent="0.25">
      <c r="C27" s="2"/>
      <c r="D27" s="2"/>
      <c r="F27" s="2"/>
      <c r="G27" s="2"/>
    </row>
    <row r="28" spans="1:14" x14ac:dyDescent="0.25">
      <c r="C28" s="2"/>
      <c r="D28" s="2"/>
      <c r="F28" s="2"/>
      <c r="G28" s="2"/>
    </row>
  </sheetData>
  <mergeCells count="2">
    <mergeCell ref="F2:J2"/>
    <mergeCell ref="F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Mabuoch Bol</cp:lastModifiedBy>
  <dcterms:created xsi:type="dcterms:W3CDTF">2024-04-08T07:52:22Z</dcterms:created>
  <dcterms:modified xsi:type="dcterms:W3CDTF">2025-11-09T13:19:09Z</dcterms:modified>
</cp:coreProperties>
</file>